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ez-moi" sheetId="1" r:id="rId4"/>
    <sheet name="Paramètres délais" sheetId="2" r:id="rId5"/>
    <sheet name="Trésorerie réelle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<sst xmlns="http://schemas.openxmlformats.org/spreadsheetml/2006/main" uniqueCount="42">
  <si>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SITIAME CAPITAL — Canevas trésorerie réelle</t>
  </si>
  <si>
    <t>Ce fichier est un POINT DE DÉPART, pas une source de vérité bancaire.</t>
  </si>
  <si>
    <t>Objet : ajuster manuellement la trésorerie théorique affichée par PME360 pour obtenir une</t>
  </si>
  <si>
    <t>estimation de la trésorerie réellement disponible en banque, en tenant compte des délais</t>
  </si>
  <si>
    <t>de compensation propres à chaque instrument de paiement (chèque, virement...).</t>
  </si>
  <si>
    <t>Les délais bancaires figurant dans l'onglet "Paramètres délais" sont des VALEURS D'EXEMPLE,</t>
  </si>
  <si>
    <t>clairement signalées, PAS des règles bancaires réelles vérifiées. Le CFO doit les remplacer</t>
  </si>
  <si>
    <t>par les conditions réelles négociées avec la/les banque(s) de la PME avant tout usage en</t>
  </si>
  <si>
    <t>décision de trésorerie.</t>
  </si>
  <si>
    <t>Rappel de périmètre (PRD 4.2, revue plateforme du 14/07/2026) : les mouvements Mobile Money</t>
  </si>
  <si>
    <t>réconciliés dans PME360 sont déjà des encaissements réels et immédiats — la logique de délai</t>
  </si>
  <si>
    <t>de ce canevas concerne surtout les instruments bancaires classiques (chèque, virement, carte).</t>
  </si>
  <si>
    <t>Ce canevas précède une intégration native dans la plateforme, qui n'est pas encore développée :</t>
  </si>
  <si>
    <t>elle nécessite d'abord les délais bancaires réels par instrument et par banque, non disponibles</t>
  </si>
  <si>
    <t>à ce stade.</t>
  </si>
  <si>
    <t>Instrument de paiement</t>
  </si>
  <si>
    <t>Délai bancaire par défaut (jours)</t>
  </si>
  <si>
    <t>Statut de la valeur</t>
  </si>
  <si>
    <t>Commentaire</t>
  </si>
  <si>
    <t>Chèque</t>
  </si>
  <si>
    <t>⚠ Valeur d'exemple — à valider par le CFO</t>
  </si>
  <si>
    <t>Délai bancaire réel variable selon la banque émettrice/encaisseuse.</t>
  </si>
  <si>
    <t>Virement bancaire</t>
  </si>
  <si>
    <t>Souvent J+1 en zone UEMOA, à confirmer par banque.</t>
  </si>
  <si>
    <t>Carte bancaire</t>
  </si>
  <si>
    <t>Délai de règlement acquéreur, variable selon le prestataire.</t>
  </si>
  <si>
    <t>Mobile Money (Wave / Orange Money / MTN)</t>
  </si>
  <si>
    <t>Réel et immédiat</t>
  </si>
  <si>
    <t>Déjà traité comme encaissement réel par la réconciliation Mobile Money de PME360 — pas d'ajustement nécessaire ici.</t>
  </si>
  <si>
    <t>Espèces</t>
  </si>
  <si>
    <t>Encaissement/décaissement immédiat, aucun délai de compensation.</t>
  </si>
  <si>
    <t>Ajustement trésorerie théorique → trésorerie réelle — remplace les lignes d'exemple par tes propres mouvements.</t>
  </si>
  <si>
    <t>Date d'opération</t>
  </si>
  <si>
    <t>Montant (FCFA)</t>
  </si>
  <si>
    <t>Délai bancaire (jours)</t>
  </si>
  <si>
    <t>Date de valeur</t>
  </si>
  <si>
    <t>Aujourd'hui</t>
  </si>
  <si>
    <t>Statut</t>
  </si>
  <si>
    <t>Montant en attente de compensation</t>
  </si>
  <si>
    <t>Trésorerie théorique (PME360)</t>
  </si>
  <si>
    <t>Montants en attente de compensation</t>
  </si>
  <si>
    <t>Trésorerie réelle = Trésorerie théorique − Montants en attente de compensation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</si>
</sst>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 &quot;FCFA&quot;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F2747"/>
      <name val="Calibri"/>
    </font>
    <font>
      <b val="1"/>
      <i val="0"/>
      <strike val="0"/>
      <u val="none"/>
      <sz val="11"/>
      <color rgb="FFB47A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B47A00"/>
      <name val="Calibri"/>
    </font>
    <font>
      <b val="1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2747"/>
        <bgColor rgb="FF000000"/>
      </patternFill>
    </fill>
    <fill>
      <patternFill patternType="solid">
        <fgColor rgb="FFFFF4E5"/>
        <bgColor rgb="FF000000"/>
      </patternFill>
    </fill>
    <fill>
      <patternFill patternType="solid">
        <fgColor rgb="FFF5F7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5" numFmtId="0" fillId="0" borderId="1" applyFont="1" applyNumberFormat="0" applyFill="0" applyBorder="1" applyAlignment="0"/>
    <xf xfId="0" fontId="6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164" fillId="0" borderId="1" applyFont="0" applyNumberFormat="1" applyFill="0" applyBorder="1" applyAlignment="0"/>
    <xf xfId="0" fontId="7" numFmtId="0" fillId="4" borderId="0" applyFont="1" applyNumberFormat="0" applyFill="1" applyBorder="0" applyAlignment="0"/>
    <xf xfId="0" fontId="0" numFmtId="165" fillId="0" borderId="0" applyFont="0" applyNumberFormat="1" applyFill="0" applyBorder="0" applyAlignment="0"/>
    <xf xfId="0" fontId="7" numFmtId="165" fillId="4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1"/>
  <sheetViews>
    <sheetView tabSelected="1" workbookViewId="0" showGridLines="true" showRowColHeaders="1">
      <selection activeCell="B21" sqref="B21"/>
    </sheetView>
  </sheetViews>
  <sheetFormatPr defaultRowHeight="14.4" outlineLevelRow="0" outlineLevelCol="0"/>
  <cols>
    <col min="1" max="1" width="2" customWidth="true" style="0"/>
    <col min="2" max="2" width="110" customWidth="true" style="0"/>
  </cols>
  <sheetData>
    <row r="2" spans="1:2">
      <c r="B2" s="1" t="s">
        <v>0</v>
      </c>
    </row>
    <row r="4" spans="1:2">
      <c r="B4" s="2" t="s">
        <v>1</v>
      </c>
    </row>
    <row r="6" spans="1:2">
      <c r="B6" s="3" t="s">
        <v>2</v>
      </c>
    </row>
    <row r="7" spans="1:2">
      <c r="B7" s="3" t="s">
        <v>3</v>
      </c>
    </row>
    <row r="8" spans="1:2">
      <c r="B8" s="3" t="s">
        <v>4</v>
      </c>
    </row>
    <row r="9" spans="1:2">
      <c r="B9" s="3"/>
    </row>
    <row r="10" spans="1:2">
      <c r="B10" s="3" t="s">
        <v>5</v>
      </c>
    </row>
    <row r="11" spans="1:2">
      <c r="B11" s="3" t="s">
        <v>6</v>
      </c>
    </row>
    <row r="12" spans="1:2">
      <c r="B12" s="3" t="s">
        <v>7</v>
      </c>
    </row>
    <row r="13" spans="1:2">
      <c r="B13" s="3" t="s">
        <v>8</v>
      </c>
    </row>
    <row r="14" spans="1:2">
      <c r="B14" s="3"/>
    </row>
    <row r="15" spans="1:2">
      <c r="B15" s="3" t="s">
        <v>9</v>
      </c>
    </row>
    <row r="16" spans="1:2">
      <c r="B16" s="3" t="s">
        <v>10</v>
      </c>
    </row>
    <row r="17" spans="1:2">
      <c r="B17" s="3" t="s">
        <v>11</v>
      </c>
    </row>
    <row r="18" spans="1:2">
      <c r="B18" s="3"/>
    </row>
    <row r="19" spans="1:2">
      <c r="B19" s="3" t="s">
        <v>12</v>
      </c>
    </row>
    <row r="20" spans="1:2">
      <c r="B20" s="3" t="s">
        <v>13</v>
      </c>
    </row>
    <row r="21" spans="1:2">
      <c r="B21" s="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1" sqref="A1:D6"/>
    </sheetView>
  </sheetViews>
  <sheetFormatPr defaultRowHeight="14.4" outlineLevelRow="0" outlineLevelCol="0"/>
  <cols>
    <col min="1" max="1" width="48.274" bestFit="true" customWidth="true" style="0"/>
    <col min="2" max="2" width="39.99" bestFit="true" customWidth="true" style="0"/>
    <col min="3" max="3" width="49.417" bestFit="true" customWidth="true" style="0"/>
    <col min="4" max="4" width="136.681" bestFit="true" customWidth="true" style="0"/>
  </cols>
  <sheetData>
    <row r="1" spans="1:4">
      <c r="A1" s="4" t="s">
        <v>15</v>
      </c>
      <c r="B1" s="4" t="s">
        <v>16</v>
      </c>
      <c r="C1" s="4" t="s">
        <v>17</v>
      </c>
      <c r="D1" s="4" t="s">
        <v>18</v>
      </c>
    </row>
    <row r="2" spans="1:4">
      <c r="A2" s="5" t="s">
        <v>19</v>
      </c>
      <c r="B2" s="6">
        <v>5</v>
      </c>
      <c r="C2" s="7" t="s">
        <v>20</v>
      </c>
      <c r="D2" s="5" t="s">
        <v>21</v>
      </c>
    </row>
    <row r="3" spans="1:4">
      <c r="A3" s="5" t="s">
        <v>22</v>
      </c>
      <c r="B3" s="6">
        <v>1</v>
      </c>
      <c r="C3" s="7" t="s">
        <v>20</v>
      </c>
      <c r="D3" s="5" t="s">
        <v>23</v>
      </c>
    </row>
    <row r="4" spans="1:4">
      <c r="A4" s="5" t="s">
        <v>24</v>
      </c>
      <c r="B4" s="6">
        <v>2</v>
      </c>
      <c r="C4" s="7" t="s">
        <v>20</v>
      </c>
      <c r="D4" s="5" t="s">
        <v>25</v>
      </c>
    </row>
    <row r="5" spans="1:4">
      <c r="A5" s="5" t="s">
        <v>26</v>
      </c>
      <c r="B5" s="5">
        <v>0</v>
      </c>
      <c r="C5" s="5" t="s">
        <v>27</v>
      </c>
      <c r="D5" s="5" t="s">
        <v>28</v>
      </c>
    </row>
    <row r="6" spans="1:4">
      <c r="A6" s="5" t="s">
        <v>29</v>
      </c>
      <c r="B6" s="5">
        <v>0</v>
      </c>
      <c r="C6" s="5" t="s">
        <v>27</v>
      </c>
      <c r="D6" s="5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3"/>
  <sheetViews>
    <sheetView tabSelected="0" workbookViewId="0" showGridLines="true" showRowColHeaders="1">
      <selection activeCell="C13" sqref="C13"/>
    </sheetView>
  </sheetViews>
  <sheetFormatPr defaultRowHeight="14.4" outlineLevelRow="0" outlineLevelCol="0"/>
  <cols>
    <col min="1" max="1" width="22.28" bestFit="true" customWidth="true" style="0"/>
    <col min="2" max="2" width="93.12" bestFit="true" customWidth="true" style="0"/>
    <col min="3" max="3" width="19.852" bestFit="true" customWidth="true" style="0"/>
    <col min="4" max="4" width="29.279" bestFit="true" customWidth="true" style="0"/>
    <col min="5" max="5" width="19.852" bestFit="true" customWidth="true" style="0"/>
    <col min="6" max="6" width="16.282" bestFit="true" customWidth="true" style="0"/>
    <col min="7" max="7" width="31.707" bestFit="true" customWidth="true" style="0"/>
    <col min="8" max="8" width="43.418" bestFit="true" customWidth="true" style="0"/>
  </cols>
  <sheetData>
    <row r="1" spans="1:8">
      <c r="A1" s="8" t="s">
        <v>31</v>
      </c>
    </row>
    <row r="3" spans="1:8">
      <c r="A3" s="9" t="s">
        <v>32</v>
      </c>
      <c r="B3" s="9" t="s">
        <v>15</v>
      </c>
      <c r="C3" s="9" t="s">
        <v>33</v>
      </c>
      <c r="D3" s="9" t="s">
        <v>34</v>
      </c>
      <c r="E3" s="9" t="s">
        <v>35</v>
      </c>
      <c r="F3" s="9" t="s">
        <v>36</v>
      </c>
      <c r="G3" s="9" t="s">
        <v>37</v>
      </c>
      <c r="H3" s="9" t="s">
        <v>38</v>
      </c>
    </row>
    <row r="4" spans="1:8">
      <c r="A4" s="10">
        <v>46213.0</v>
      </c>
      <c r="B4" s="5" t="s">
        <v>19</v>
      </c>
      <c r="C4" s="5">
        <v>150000</v>
      </c>
      <c r="D4" s="5">
        <f>IFERROR(VLOOKUP(B4,'Paramètres délais'!$A$2:$B$6,2,FALSE),0)</f>
        <v>5</v>
      </c>
      <c r="E4" s="10">
        <f>A4+D4</f>
        <v>46218</v>
      </c>
      <c r="F4" s="10">
        <f>TODAY()</f>
        <v>46217</v>
      </c>
      <c r="G4" s="5" t="str">
        <f>IF(E4&lt;=F4,"Compensé","En attente de compensation")</f>
        <v>En attente de compensation</v>
      </c>
      <c r="H4" s="5">
        <f>IF(G4="En attente de compensation",C4,0)</f>
        <v>150000</v>
      </c>
    </row>
    <row r="5" spans="1:8">
      <c r="A5" s="10">
        <v>46215.0</v>
      </c>
      <c r="B5" s="5" t="s">
        <v>22</v>
      </c>
      <c r="C5" s="5">
        <v>320000</v>
      </c>
      <c r="D5" s="5">
        <f>IFERROR(VLOOKUP(B5,'Paramètres délais'!$A$2:$B$6,2,FALSE),0)</f>
        <v>1</v>
      </c>
      <c r="E5" s="10">
        <f>A5+D5</f>
        <v>46216</v>
      </c>
      <c r="F5" s="10">
        <f>TODAY()</f>
        <v>46217</v>
      </c>
      <c r="G5" s="5" t="str">
        <f>IF(E5&lt;=F5,"Compensé","En attente de compensation")</f>
        <v>Compensé</v>
      </c>
      <c r="H5" s="5">
        <f>IF(G5="En attente de compensation",C5,0)</f>
        <v>0</v>
      </c>
    </row>
    <row r="6" spans="1:8">
      <c r="A6" s="10">
        <v>46216.0</v>
      </c>
      <c r="B6" s="5" t="s">
        <v>26</v>
      </c>
      <c r="C6" s="5">
        <v>118000</v>
      </c>
      <c r="D6" s="5">
        <f>IFERROR(VLOOKUP(B6,'Paramètres délais'!$A$2:$B$6,2,FALSE),0)</f>
        <v>0</v>
      </c>
      <c r="E6" s="10">
        <f>A6+D6</f>
        <v>46216</v>
      </c>
      <c r="F6" s="10">
        <f>TODAY()</f>
        <v>46217</v>
      </c>
      <c r="G6" s="5" t="str">
        <f>IF(E6&lt;=F6,"Compensé","En attente de compensation")</f>
        <v>Compensé</v>
      </c>
      <c r="H6" s="5">
        <f>IF(G6="En attente de compensation",C6,0)</f>
        <v>0</v>
      </c>
    </row>
    <row r="7" spans="1:8">
      <c r="A7" s="10">
        <v>46216.0</v>
      </c>
      <c r="B7" s="5" t="s">
        <v>29</v>
      </c>
      <c r="C7" s="5">
        <v>25000</v>
      </c>
      <c r="D7" s="5">
        <f>IFERROR(VLOOKUP(B7,'Paramètres délais'!$A$2:$B$6,2,FALSE),0)</f>
        <v>0</v>
      </c>
      <c r="E7" s="10">
        <f>A7+D7</f>
        <v>46216</v>
      </c>
      <c r="F7" s="10">
        <f>TODAY()</f>
        <v>46217</v>
      </c>
      <c r="G7" s="5" t="str">
        <f>IF(E7&lt;=F7,"Compensé","En attente de compensation")</f>
        <v>Compensé</v>
      </c>
      <c r="H7" s="5">
        <f>IF(G7="En attente de compensation",C7,0)</f>
        <v>0</v>
      </c>
    </row>
    <row r="8" spans="1:8">
      <c r="A8" s="10">
        <v>46217.0</v>
      </c>
      <c r="B8" s="5" t="s">
        <v>24</v>
      </c>
      <c r="C8" s="5">
        <v>42000</v>
      </c>
      <c r="D8" s="5">
        <f>IFERROR(VLOOKUP(B8,'Paramètres délais'!$A$2:$B$6,2,FALSE),0)</f>
        <v>2</v>
      </c>
      <c r="E8" s="10">
        <f>A8+D8</f>
        <v>46219</v>
      </c>
      <c r="F8" s="10">
        <f>TODAY()</f>
        <v>46217</v>
      </c>
      <c r="G8" s="5" t="str">
        <f>IF(E8&lt;=F8,"Compensé","En attente de compensation")</f>
        <v>En attente de compensation</v>
      </c>
      <c r="H8" s="5">
        <f>IF(G8="En attente de compensation",C8,0)</f>
        <v>42000</v>
      </c>
    </row>
    <row r="11" spans="1:8">
      <c r="B11" t="s">
        <v>39</v>
      </c>
      <c r="C11" s="12">
        <f>SUM(C4:C8)</f>
        <v>655000</v>
      </c>
    </row>
    <row r="12" spans="1:8">
      <c r="B12" t="s">
        <v>40</v>
      </c>
      <c r="C12" s="12">
        <f>SUM(H4:H8)</f>
        <v>192000</v>
      </c>
    </row>
    <row r="13" spans="1:8">
      <c r="B13" s="11" t="s">
        <v>41</v>
      </c>
      <c r="C13" s="13">
        <f>C11-C12</f>
        <v>463000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Lisez-moi</vt:lpstr>
      <vt:lpstr>Paramètres délais</vt:lpstr>
      <vt:lpstr>Trésorerie réelle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2026-07-14T15:50:03+00:00</dcterms:created>
  <dcterms:modified xsi:type="dcterms:W3CDTF">2026-07-14T15:50:03+00:00</dcterms:modified>
  <dc:title>Untitled Spreadsheet</dc:title>
  <dc:description/>
  <dc:subject/>
  <cp:keywords/>
  <cp:category/>
</cp:coreProperties>
</file>